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filterPrivacy="1" codeName="ThisWorkbook" defaultThemeVersion="124226"/>
  <xr:revisionPtr revIDLastSave="0" documentId="13_ncr:1_{6008825E-89A3-4F37-8925-332B902B4A43}" xr6:coauthVersionLast="34" xr6:coauthVersionMax="34" xr10:uidLastSave="{00000000-0000-0000-0000-000000000000}"/>
  <bookViews>
    <workbookView xWindow="0" yWindow="0" windowWidth="20490" windowHeight="7485" xr2:uid="{C932BEE3-4109-40E8-9682-379AC76EC437}"/>
  </bookViews>
  <sheets>
    <sheet name="Sheet1" sheetId="1" r:id="rId1"/>
  </sheets>
  <calcPr calcId="179017"/>
</workbook>
</file>

<file path=xl/calcChain.xml><?xml version="1.0" encoding="utf-8"?>
<calcChain xmlns="http://schemas.openxmlformats.org/spreadsheetml/2006/main">
  <c r="J17" i="1" l="1"/>
  <c r="J18" i="1"/>
  <c r="J19" i="1"/>
  <c r="J20" i="1"/>
  <c r="J21" i="1"/>
  <c r="J22" i="1"/>
  <c r="J23" i="1"/>
  <c r="J24" i="1"/>
  <c r="J16" i="1"/>
  <c r="K3" i="1" l="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2" i="1"/>
  <c r="K1" i="1"/>
  <c r="H24" i="1"/>
  <c r="H23" i="1"/>
  <c r="H22" i="1"/>
  <c r="H21" i="1"/>
  <c r="H20" i="1"/>
  <c r="H19" i="1"/>
  <c r="H18" i="1"/>
  <c r="H17" i="1"/>
  <c r="H16" i="1"/>
  <c r="H15" i="1"/>
  <c r="H14" i="1"/>
  <c r="H13" i="1"/>
  <c r="H12" i="1"/>
  <c r="H11" i="1"/>
  <c r="H10" i="1"/>
  <c r="H9" i="1"/>
  <c r="H8" i="1"/>
  <c r="H7" i="1"/>
  <c r="H6" i="1"/>
  <c r="H5" i="1"/>
  <c r="H4" i="1"/>
  <c r="H3" i="1"/>
  <c r="H2" i="1"/>
  <c r="H26" i="1"/>
  <c r="H27" i="1"/>
  <c r="H28" i="1"/>
  <c r="H29" i="1"/>
  <c r="H30" i="1"/>
  <c r="H31" i="1"/>
  <c r="H32" i="1"/>
  <c r="H33" i="1"/>
  <c r="H34" i="1"/>
  <c r="H35" i="1"/>
  <c r="H36" i="1"/>
  <c r="H37" i="1"/>
  <c r="H38" i="1"/>
  <c r="H39" i="1"/>
  <c r="H40" i="1"/>
  <c r="H41" i="1"/>
  <c r="H42" i="1"/>
  <c r="H25" i="1"/>
  <c r="G1" i="1"/>
  <c r="F3" i="1"/>
  <c r="F4" i="1"/>
  <c r="F5" i="1"/>
  <c r="F6" i="1"/>
  <c r="F7" i="1"/>
  <c r="F8" i="1"/>
  <c r="F9" i="1"/>
  <c r="F10" i="1"/>
  <c r="F11" i="1"/>
  <c r="F12" i="1"/>
  <c r="F13" i="1"/>
  <c r="F14" i="1"/>
  <c r="F15" i="1"/>
  <c r="F16" i="1"/>
  <c r="F17" i="1"/>
  <c r="F18" i="1"/>
  <c r="F19" i="1"/>
  <c r="F20" i="1"/>
  <c r="F21" i="1"/>
  <c r="F22" i="1"/>
  <c r="F23" i="1"/>
  <c r="F24" i="1"/>
  <c r="F25" i="1"/>
  <c r="F26" i="1"/>
  <c r="F30" i="1"/>
  <c r="F34" i="1"/>
  <c r="F35" i="1"/>
  <c r="F36" i="1"/>
  <c r="F37" i="1"/>
  <c r="F38" i="1"/>
  <c r="F39" i="1"/>
  <c r="F40" i="1"/>
  <c r="F41" i="1"/>
  <c r="F42" i="1"/>
  <c r="F2" i="1"/>
  <c r="E3" i="1"/>
  <c r="E4" i="1"/>
  <c r="E5" i="1"/>
  <c r="E6" i="1"/>
  <c r="E7" i="1"/>
  <c r="E8" i="1"/>
  <c r="E9" i="1"/>
  <c r="E10" i="1"/>
  <c r="E11" i="1"/>
  <c r="E12" i="1"/>
  <c r="E13" i="1"/>
  <c r="E14" i="1"/>
  <c r="E15" i="1"/>
  <c r="E16" i="1"/>
  <c r="E17" i="1"/>
  <c r="E18" i="1"/>
  <c r="E19" i="1"/>
  <c r="E20" i="1"/>
  <c r="E21" i="1"/>
  <c r="E22" i="1"/>
  <c r="E23" i="1"/>
  <c r="E24" i="1"/>
  <c r="E25" i="1"/>
  <c r="E26" i="1"/>
  <c r="E27" i="1"/>
  <c r="E28" i="1"/>
  <c r="E30" i="1"/>
  <c r="E31" i="1"/>
  <c r="E32" i="1"/>
  <c r="E34" i="1"/>
  <c r="E35" i="1"/>
  <c r="E36" i="1"/>
  <c r="E37" i="1"/>
  <c r="E38" i="1"/>
  <c r="E39" i="1"/>
  <c r="E40" i="1"/>
  <c r="E41" i="1"/>
  <c r="E42" i="1"/>
  <c r="E2" i="1"/>
  <c r="B35" i="1"/>
  <c r="B36" i="1"/>
  <c r="B37" i="1"/>
  <c r="B38" i="1"/>
  <c r="B39" i="1"/>
  <c r="B40" i="1"/>
  <c r="B41" i="1"/>
  <c r="B42" i="1"/>
  <c r="B34" i="1"/>
  <c r="B26" i="1"/>
  <c r="B27" i="1"/>
  <c r="F27" i="1" s="1"/>
  <c r="B28" i="1"/>
  <c r="F28" i="1" s="1"/>
  <c r="B29" i="1"/>
  <c r="E29" i="1" s="1"/>
  <c r="B30" i="1"/>
  <c r="B31" i="1"/>
  <c r="F31" i="1" s="1"/>
  <c r="B32" i="1"/>
  <c r="F32" i="1" s="1"/>
  <c r="B33" i="1"/>
  <c r="E33" i="1" s="1"/>
  <c r="B25" i="1"/>
  <c r="E1" i="1" l="1"/>
  <c r="F33" i="1"/>
  <c r="F29" i="1"/>
  <c r="F1" i="1" s="1"/>
</calcChain>
</file>

<file path=xl/sharedStrings.xml><?xml version="1.0" encoding="utf-8"?>
<sst xmlns="http://schemas.openxmlformats.org/spreadsheetml/2006/main" count="150" uniqueCount="44">
  <si>
    <t>two</t>
  </si>
  <si>
    <t>three</t>
  </si>
  <si>
    <t>four</t>
  </si>
  <si>
    <t>five</t>
  </si>
  <si>
    <t>six</t>
  </si>
  <si>
    <t>seven</t>
  </si>
  <si>
    <t>eight</t>
  </si>
  <si>
    <t>nine</t>
  </si>
  <si>
    <t>ten</t>
  </si>
  <si>
    <t>yearmonth</t>
  </si>
  <si>
    <t>integer</t>
  </si>
  <si>
    <t>drawno</t>
  </si>
  <si>
    <t>Competitions</t>
  </si>
  <si>
    <t>text</t>
  </si>
  <si>
    <t>Datetime</t>
  </si>
  <si>
    <t>Dispatchamt</t>
  </si>
  <si>
    <t>DOUBLE</t>
  </si>
  <si>
    <t>Guestteam</t>
  </si>
  <si>
    <t>Handicap</t>
  </si>
  <si>
    <t>Hitcount</t>
  </si>
  <si>
    <t>float64</t>
  </si>
  <si>
    <t>Hostteam</t>
  </si>
  <si>
    <t>Matchno</t>
  </si>
  <si>
    <t>Result</t>
  </si>
  <si>
    <t>Score</t>
  </si>
  <si>
    <t>Spvalue</t>
  </si>
  <si>
    <t>Stake</t>
  </si>
  <si>
    <t>字段</t>
    <phoneticPr fontId="1" type="noConversion"/>
  </si>
  <si>
    <t>类型</t>
    <phoneticPr fontId="1" type="noConversion"/>
  </si>
  <si>
    <t>序号</t>
    <phoneticPr fontId="1" type="noConversion"/>
  </si>
  <si>
    <t>varchar(2)  default ''</t>
  </si>
  <si>
    <t>varchar(3)  default ''</t>
  </si>
  <si>
    <t>varchar(4)  default ''</t>
  </si>
  <si>
    <t>varchar(5)  default ''</t>
  </si>
  <si>
    <t>varchar(6)  default ''</t>
  </si>
  <si>
    <t>varchar(7)  default ''</t>
  </si>
  <si>
    <t>varchar(8)  default ''</t>
  </si>
  <si>
    <t>varchar(9)  default ''</t>
  </si>
  <si>
    <r>
      <t>integer</t>
    </r>
    <r>
      <rPr>
        <sz val="10"/>
        <rFont val="Arial Unicode MS"/>
        <family val="2"/>
        <charset val="134"/>
      </rPr>
      <t xml:space="preserve"> not null</t>
    </r>
  </si>
  <si>
    <t>varchar(10) default ''</t>
    <phoneticPr fontId="1" type="noConversion"/>
  </si>
  <si>
    <t>?,</t>
    <phoneticPr fontId="1" type="noConversion"/>
  </si>
  <si>
    <t>go类型</t>
    <phoneticPr fontId="1" type="noConversion"/>
  </si>
  <si>
    <t>int</t>
    <phoneticPr fontId="1" type="noConversion"/>
  </si>
  <si>
    <t>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</si>
</sst>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宋体"/>
      <family val="2"/>
      <scheme val="minor"/>
    </font>
    <font>
      <sz val="9"/>
      <name val="宋体"/>
      <family val="3"/>
      <charset val="134"/>
      <scheme val="minor"/>
    </font>
    <font>
      <sz val="11"/>
      <name val="宋体"/>
      <family val="2"/>
      <scheme val="minor"/>
    </font>
    <font>
      <sz val="10"/>
      <name val="Arial Unicode MS"/>
      <family val="2"/>
      <charset val="134"/>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2" fillId="0" borderId="0" xfId="0" applyFont="1"/>
  </cellXfs>
  <cellStyles count="1">
    <cellStyle name="常规" xfId="0" builtinId="0"/>
  </cellStyles>
  <dxfs count="0"/>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2"/>
  <sheetViews>
    <sheetView tabSelected="1" topLeftCell="A13" workbookViewId="0">
      <selection activeCell="J24" sqref="J16:J24"/>
    </sheetView>
  </sheetViews>
  <sheetFormatPr defaultRowHeight="13.5" x14ac:dyDescent="0.15"/>
  <cols>
    <col min="1" max="1" width="5.25" bestFit="1" customWidth="1"/>
    <col min="2" max="2" width="13.875" bestFit="1" customWidth="1"/>
    <col min="3" max="3" width="13.5" customWidth="1"/>
    <col min="4" max="4" width="15.25" customWidth="1"/>
    <col min="5" max="5" width="31.875" customWidth="1"/>
  </cols>
  <sheetData>
    <row r="1" spans="1:11" x14ac:dyDescent="0.15">
      <c r="A1" t="s">
        <v>29</v>
      </c>
      <c r="B1" t="s">
        <v>27</v>
      </c>
      <c r="C1" t="s">
        <v>28</v>
      </c>
      <c r="D1" t="s">
        <v>41</v>
      </c>
      <c r="E1" t="str">
        <f>_xlfn.CONCAT(E2:E42)</f>
        <v>yearmonth integer not null,drawno integer not null,Competitions text,Datetime text,Dispatchamt DOUBLE,Guestteam text,Handicap integer,Hitcount float64,Hostteam text,Matchno integer not null,Result integer,Score text,Spvalue DOUBLE,Stake DOUBLE,two varchar(2)  default '',three varchar(3)  default '',four varchar(4)  default '',five varchar(5)  default '',six varchar(6)  default '',seven varchar(7)  default '',eight varchar(8)  default '',nine varchar(9)  default '',ten varchar(10) default '',twoSUMsp DOUBLE,threeSUMsp DOUBLE,fourSUMsp DOUBLE,fiveSUMsp DOUBLE,sixSUMsp DOUBLE,sevenSUMsp DOUBLE,eightSUMsp DOUBLE,nineSUMsp DOUBLE,tenSUMsp DOUBLE,twoPRODUCTsp DOUBLE,threePRODUCTsp DOUBLE,fourPRODUCTsp DOUBLE,fivePRODUCTsp DOUBLE,sixPRODUCTsp DOUBLE,sevenPRODUCTsp DOUBLE,eightPRODUCTsp DOUBLE,ninePRODUCTsp DOUBLE,tenPRODUCTsp DOUBLE,</v>
      </c>
      <c r="F1" t="str">
        <f>_xlfn.CONCAT(F2:F42)</f>
        <v>yearmonth,drawno,Competitions,Datetime,Dispatchamt,Guestteam,Handicap,Hitcount,Hostteam,Matchno,Result,Score,Spvalue,Stake,two,three,four,five,six,seven,eight,nine,ten,twoSUMsp,threeSUMsp,fourSUMsp,fiveSUMsp,sixSUMsp,sevenSUMsp,eightSUMsp,nineSUMsp,tenSUMsp,twoPRODUCTsp,threePRODUCTsp,fourPRODUCTsp,fivePRODUCTsp,sixPRODUCTsp,sevenPRODUCTsp,eightPRODUCTsp,ninePRODUCTsp,tenPRODUCTsp,</v>
      </c>
      <c r="G1" t="str">
        <f>_xlfn.CONCAT(G2:G42)</f>
        <v>?,?,?,?,?,?,?,?,?,?,?,?,?,?,?,?,?,?,?,?,?,?,?,?,?,?,?,?,?,?,?,?,?,?,?,?,?,?,?,?,?,</v>
      </c>
      <c r="K1" t="str">
        <f>_xlfn.CONCAT(K2:K42)</f>
        <v>data[i].yearmonth,data[i].drawno,data[i].Competitions,data[i].Datetime,data[i].Dispatchamt,data[i].Guestteam,data[i].Handicap,data[i].Hitcount,data[i].Hostteam,data[i].Matchno,data[i].Result,data[i].Score,data[i].Spvalue,data[i].Stake,data[i].two,data[i].three,data[i].four,data[i].five,data[i].six,data[i].seven,data[i].eight,data[i].nine,data[i].ten,data[i].twoSUMsp,data[i].threeSUMsp,data[i].fourSUMsp,data[i].fiveSUMsp,data[i].sixSUMsp,data[i].sevenSUMsp,data[i].eightSUMsp,data[i].nineSUMsp,data[i].tenSUMsp,data[i].twoPRODUCTsp,data[i].threePRODUCTsp,data[i].fourPRODUCTsp,data[i].fivePRODUCTsp,data[i].sixPRODUCTsp,data[i].sevenPRODUCTsp,data[i].eightPRODUCTsp,data[i].ninePRODUCTsp,data[i].tenPRODUCTsp,</v>
      </c>
    </row>
    <row r="2" spans="1:11" ht="15.75" x14ac:dyDescent="0.3">
      <c r="A2">
        <v>1</v>
      </c>
      <c r="B2" s="1" t="s">
        <v>9</v>
      </c>
      <c r="C2" s="1" t="s">
        <v>38</v>
      </c>
      <c r="D2" s="1" t="s">
        <v>42</v>
      </c>
      <c r="E2" t="str">
        <f>B2&amp;" "&amp;C2&amp;","</f>
        <v>yearmonth integer not null,</v>
      </c>
      <c r="F2" t="str">
        <f>B2&amp;","</f>
        <v>yearmonth,</v>
      </c>
      <c r="G2" t="s">
        <v>40</v>
      </c>
      <c r="H2" t="str">
        <f t="shared" ref="H2:H24" si="0">B2&amp;"   "&amp;D2</f>
        <v>yearmonth   int</v>
      </c>
      <c r="K2" t="str">
        <f>"data[i]."&amp;B2&amp;","</f>
        <v>data[i].yearmonth,</v>
      </c>
    </row>
    <row r="3" spans="1:11" ht="15.75" x14ac:dyDescent="0.3">
      <c r="A3">
        <v>2</v>
      </c>
      <c r="B3" t="s">
        <v>11</v>
      </c>
      <c r="C3" s="1" t="s">
        <v>38</v>
      </c>
      <c r="D3" s="1" t="s">
        <v>42</v>
      </c>
      <c r="E3" t="str">
        <f t="shared" ref="E3:E42" si="1">B3&amp;" "&amp;C3&amp;","</f>
        <v>drawno integer not null,</v>
      </c>
      <c r="F3" t="str">
        <f t="shared" ref="F3:F42" si="2">B3&amp;","</f>
        <v>drawno,</v>
      </c>
      <c r="G3" t="s">
        <v>40</v>
      </c>
      <c r="H3" t="str">
        <f t="shared" si="0"/>
        <v>drawno   int</v>
      </c>
      <c r="K3" t="str">
        <f t="shared" ref="K3:K42" si="3">"data[i]."&amp;B3&amp;","</f>
        <v>data[i].drawno,</v>
      </c>
    </row>
    <row r="4" spans="1:11" x14ac:dyDescent="0.15">
      <c r="A4">
        <v>3</v>
      </c>
      <c r="B4" t="s">
        <v>12</v>
      </c>
      <c r="C4" t="s">
        <v>13</v>
      </c>
      <c r="D4" t="s">
        <v>43</v>
      </c>
      <c r="E4" t="str">
        <f t="shared" si="1"/>
        <v>Competitions text,</v>
      </c>
      <c r="F4" t="str">
        <f t="shared" si="2"/>
        <v>Competitions,</v>
      </c>
      <c r="G4" t="s">
        <v>40</v>
      </c>
      <c r="H4" t="str">
        <f t="shared" si="0"/>
        <v>Competitions   string</v>
      </c>
      <c r="K4" t="str">
        <f t="shared" si="3"/>
        <v>data[i].Competitions,</v>
      </c>
    </row>
    <row r="5" spans="1:11" x14ac:dyDescent="0.15">
      <c r="A5">
        <v>4</v>
      </c>
      <c r="B5" t="s">
        <v>14</v>
      </c>
      <c r="C5" t="s">
        <v>13</v>
      </c>
      <c r="D5" t="s">
        <v>43</v>
      </c>
      <c r="E5" t="str">
        <f t="shared" si="1"/>
        <v>Datetime text,</v>
      </c>
      <c r="F5" t="str">
        <f t="shared" si="2"/>
        <v>Datetime,</v>
      </c>
      <c r="G5" t="s">
        <v>40</v>
      </c>
      <c r="H5" t="str">
        <f t="shared" si="0"/>
        <v>Datetime   string</v>
      </c>
      <c r="K5" t="str">
        <f t="shared" si="3"/>
        <v>data[i].Datetime,</v>
      </c>
    </row>
    <row r="6" spans="1:11" x14ac:dyDescent="0.15">
      <c r="A6">
        <v>5</v>
      </c>
      <c r="B6" t="s">
        <v>15</v>
      </c>
      <c r="C6" t="s">
        <v>16</v>
      </c>
      <c r="D6" t="s">
        <v>20</v>
      </c>
      <c r="E6" t="str">
        <f t="shared" si="1"/>
        <v>Dispatchamt DOUBLE,</v>
      </c>
      <c r="F6" t="str">
        <f t="shared" si="2"/>
        <v>Dispatchamt,</v>
      </c>
      <c r="G6" t="s">
        <v>40</v>
      </c>
      <c r="H6" t="str">
        <f t="shared" si="0"/>
        <v>Dispatchamt   float64</v>
      </c>
      <c r="K6" t="str">
        <f t="shared" si="3"/>
        <v>data[i].Dispatchamt,</v>
      </c>
    </row>
    <row r="7" spans="1:11" x14ac:dyDescent="0.15">
      <c r="A7">
        <v>6</v>
      </c>
      <c r="B7" t="s">
        <v>17</v>
      </c>
      <c r="C7" t="s">
        <v>13</v>
      </c>
      <c r="D7" t="s">
        <v>43</v>
      </c>
      <c r="E7" t="str">
        <f t="shared" si="1"/>
        <v>Guestteam text,</v>
      </c>
      <c r="F7" t="str">
        <f t="shared" si="2"/>
        <v>Guestteam,</v>
      </c>
      <c r="G7" t="s">
        <v>40</v>
      </c>
      <c r="H7" t="str">
        <f t="shared" si="0"/>
        <v>Guestteam   string</v>
      </c>
      <c r="K7" t="str">
        <f t="shared" si="3"/>
        <v>data[i].Guestteam,</v>
      </c>
    </row>
    <row r="8" spans="1:11" x14ac:dyDescent="0.15">
      <c r="A8">
        <v>7</v>
      </c>
      <c r="B8" t="s">
        <v>18</v>
      </c>
      <c r="C8" t="s">
        <v>10</v>
      </c>
      <c r="D8" s="1" t="s">
        <v>42</v>
      </c>
      <c r="E8" t="str">
        <f t="shared" si="1"/>
        <v>Handicap integer,</v>
      </c>
      <c r="F8" t="str">
        <f t="shared" si="2"/>
        <v>Handicap,</v>
      </c>
      <c r="G8" t="s">
        <v>40</v>
      </c>
      <c r="H8" t="str">
        <f t="shared" si="0"/>
        <v>Handicap   int</v>
      </c>
      <c r="K8" t="str">
        <f t="shared" si="3"/>
        <v>data[i].Handicap,</v>
      </c>
    </row>
    <row r="9" spans="1:11" x14ac:dyDescent="0.15">
      <c r="A9">
        <v>8</v>
      </c>
      <c r="B9" t="s">
        <v>19</v>
      </c>
      <c r="C9" t="s">
        <v>20</v>
      </c>
      <c r="D9" t="s">
        <v>20</v>
      </c>
      <c r="E9" t="str">
        <f t="shared" si="1"/>
        <v>Hitcount float64,</v>
      </c>
      <c r="F9" t="str">
        <f t="shared" si="2"/>
        <v>Hitcount,</v>
      </c>
      <c r="G9" t="s">
        <v>40</v>
      </c>
      <c r="H9" t="str">
        <f t="shared" si="0"/>
        <v>Hitcount   float64</v>
      </c>
      <c r="K9" t="str">
        <f t="shared" si="3"/>
        <v>data[i].Hitcount,</v>
      </c>
    </row>
    <row r="10" spans="1:11" x14ac:dyDescent="0.15">
      <c r="A10">
        <v>9</v>
      </c>
      <c r="B10" t="s">
        <v>21</v>
      </c>
      <c r="C10" t="s">
        <v>13</v>
      </c>
      <c r="D10" t="s">
        <v>43</v>
      </c>
      <c r="E10" t="str">
        <f t="shared" si="1"/>
        <v>Hostteam text,</v>
      </c>
      <c r="F10" t="str">
        <f t="shared" si="2"/>
        <v>Hostteam,</v>
      </c>
      <c r="G10" t="s">
        <v>40</v>
      </c>
      <c r="H10" t="str">
        <f t="shared" si="0"/>
        <v>Hostteam   string</v>
      </c>
      <c r="K10" t="str">
        <f t="shared" si="3"/>
        <v>data[i].Hostteam,</v>
      </c>
    </row>
    <row r="11" spans="1:11" ht="15.75" x14ac:dyDescent="0.3">
      <c r="A11">
        <v>10</v>
      </c>
      <c r="B11" t="s">
        <v>22</v>
      </c>
      <c r="C11" s="1" t="s">
        <v>38</v>
      </c>
      <c r="D11" s="1" t="s">
        <v>42</v>
      </c>
      <c r="E11" t="str">
        <f t="shared" si="1"/>
        <v>Matchno integer not null,</v>
      </c>
      <c r="F11" t="str">
        <f t="shared" si="2"/>
        <v>Matchno,</v>
      </c>
      <c r="G11" t="s">
        <v>40</v>
      </c>
      <c r="H11" t="str">
        <f t="shared" si="0"/>
        <v>Matchno   int</v>
      </c>
      <c r="K11" t="str">
        <f t="shared" si="3"/>
        <v>data[i].Matchno,</v>
      </c>
    </row>
    <row r="12" spans="1:11" x14ac:dyDescent="0.15">
      <c r="A12">
        <v>11</v>
      </c>
      <c r="B12" t="s">
        <v>23</v>
      </c>
      <c r="C12" t="s">
        <v>10</v>
      </c>
      <c r="D12" s="1" t="s">
        <v>42</v>
      </c>
      <c r="E12" t="str">
        <f t="shared" si="1"/>
        <v>Result integer,</v>
      </c>
      <c r="F12" t="str">
        <f t="shared" si="2"/>
        <v>Result,</v>
      </c>
      <c r="G12" t="s">
        <v>40</v>
      </c>
      <c r="H12" t="str">
        <f t="shared" si="0"/>
        <v>Result   int</v>
      </c>
      <c r="K12" t="str">
        <f t="shared" si="3"/>
        <v>data[i].Result,</v>
      </c>
    </row>
    <row r="13" spans="1:11" x14ac:dyDescent="0.15">
      <c r="A13">
        <v>12</v>
      </c>
      <c r="B13" t="s">
        <v>24</v>
      </c>
      <c r="C13" t="s">
        <v>13</v>
      </c>
      <c r="D13" t="s">
        <v>43</v>
      </c>
      <c r="E13" t="str">
        <f t="shared" si="1"/>
        <v>Score text,</v>
      </c>
      <c r="F13" t="str">
        <f t="shared" si="2"/>
        <v>Score,</v>
      </c>
      <c r="G13" t="s">
        <v>40</v>
      </c>
      <c r="H13" t="str">
        <f t="shared" si="0"/>
        <v>Score   string</v>
      </c>
      <c r="K13" t="str">
        <f t="shared" si="3"/>
        <v>data[i].Score,</v>
      </c>
    </row>
    <row r="14" spans="1:11" x14ac:dyDescent="0.15">
      <c r="A14">
        <v>13</v>
      </c>
      <c r="B14" t="s">
        <v>25</v>
      </c>
      <c r="C14" t="s">
        <v>16</v>
      </c>
      <c r="D14" t="s">
        <v>20</v>
      </c>
      <c r="E14" t="str">
        <f t="shared" si="1"/>
        <v>Spvalue DOUBLE,</v>
      </c>
      <c r="F14" t="str">
        <f t="shared" si="2"/>
        <v>Spvalue,</v>
      </c>
      <c r="G14" t="s">
        <v>40</v>
      </c>
      <c r="H14" t="str">
        <f t="shared" si="0"/>
        <v>Spvalue   float64</v>
      </c>
      <c r="K14" t="str">
        <f t="shared" si="3"/>
        <v>data[i].Spvalue,</v>
      </c>
    </row>
    <row r="15" spans="1:11" x14ac:dyDescent="0.15">
      <c r="A15">
        <v>14</v>
      </c>
      <c r="B15" t="s">
        <v>26</v>
      </c>
      <c r="C15" t="s">
        <v>16</v>
      </c>
      <c r="D15" t="s">
        <v>20</v>
      </c>
      <c r="E15" t="str">
        <f t="shared" si="1"/>
        <v>Stake DOUBLE,</v>
      </c>
      <c r="F15" t="str">
        <f t="shared" si="2"/>
        <v>Stake,</v>
      </c>
      <c r="G15" t="s">
        <v>40</v>
      </c>
      <c r="H15" t="str">
        <f t="shared" si="0"/>
        <v>Stake   float64</v>
      </c>
      <c r="K15" t="str">
        <f t="shared" si="3"/>
        <v>data[i].Stake,</v>
      </c>
    </row>
    <row r="16" spans="1:11" x14ac:dyDescent="0.15">
      <c r="A16">
        <v>15</v>
      </c>
      <c r="B16" t="s">
        <v>0</v>
      </c>
      <c r="C16" t="s">
        <v>30</v>
      </c>
      <c r="D16" t="s">
        <v>43</v>
      </c>
      <c r="E16" t="str">
        <f t="shared" si="1"/>
        <v>two varchar(2)  default '',</v>
      </c>
      <c r="F16" t="str">
        <f t="shared" si="2"/>
        <v>two,</v>
      </c>
      <c r="G16" t="s">
        <v>40</v>
      </c>
      <c r="H16" t="str">
        <f t="shared" si="0"/>
        <v>two   string</v>
      </c>
      <c r="J16" t="str">
        <f>" for i := 0; i &lt; len(me.Drawresult)-n+1; i++ {
  for j := i; j &lt; i+n; j++ {
   data[i]."&amp;B16&amp;" += me.Drawresult[j].Result
   data[i]."&amp;B16&amp;"PRODUCTsp *= data[j].Spvalue
   data[i]."&amp;B16&amp;"SUMsp += data[j].Spvalue
  }
 }
 n++
"</f>
        <v xml:space="preserve"> for i := 0; i &lt; len(me.Drawresult)-n+1; i++ {
  for j := i; j &lt; i+n; j++ {
   data[i].two += me.Drawresult[j].Result
   data[i].twoPRODUCTsp *= data[j].Spvalue
   data[i].twoSUMsp += data[j].Spvalue
  }
 }
 n++
</v>
      </c>
      <c r="K16" t="str">
        <f t="shared" si="3"/>
        <v>data[i].two,</v>
      </c>
    </row>
    <row r="17" spans="1:11" x14ac:dyDescent="0.15">
      <c r="A17">
        <v>16</v>
      </c>
      <c r="B17" t="s">
        <v>1</v>
      </c>
      <c r="C17" t="s">
        <v>31</v>
      </c>
      <c r="D17" t="s">
        <v>43</v>
      </c>
      <c r="E17" t="str">
        <f t="shared" si="1"/>
        <v>three varchar(3)  default '',</v>
      </c>
      <c r="F17" t="str">
        <f t="shared" si="2"/>
        <v>three,</v>
      </c>
      <c r="G17" t="s">
        <v>40</v>
      </c>
      <c r="H17" t="str">
        <f t="shared" si="0"/>
        <v>three   string</v>
      </c>
      <c r="J17" t="str">
        <f t="shared" ref="J17:J24" si="4">" for i := 0; i &lt; len(me.Drawresult)-n+1; i++ {
  for j := i; j &lt; i+n; j++ {
   data[i]."&amp;B17&amp;" += me.Drawresult[j].Result
   data[i]."&amp;B17&amp;"PRODUCTsp *= data[j].Spvalue
   data[i]."&amp;B17&amp;"SUMsp += data[j].Spvalue
  }
 }
 n++
"</f>
        <v xml:space="preserve"> for i := 0; i &lt; len(me.Drawresult)-n+1; i++ {
  for j := i; j &lt; i+n; j++ {
   data[i].three += me.Drawresult[j].Result
   data[i].threePRODUCTsp *= data[j].Spvalue
   data[i].threeSUMsp += data[j].Spvalue
  }
 }
 n++
</v>
      </c>
      <c r="K17" t="str">
        <f t="shared" si="3"/>
        <v>data[i].three,</v>
      </c>
    </row>
    <row r="18" spans="1:11" x14ac:dyDescent="0.15">
      <c r="A18">
        <v>17</v>
      </c>
      <c r="B18" t="s">
        <v>2</v>
      </c>
      <c r="C18" t="s">
        <v>32</v>
      </c>
      <c r="D18" t="s">
        <v>43</v>
      </c>
      <c r="E18" t="str">
        <f t="shared" si="1"/>
        <v>four varchar(4)  default '',</v>
      </c>
      <c r="F18" t="str">
        <f t="shared" si="2"/>
        <v>four,</v>
      </c>
      <c r="G18" t="s">
        <v>40</v>
      </c>
      <c r="H18" t="str">
        <f t="shared" si="0"/>
        <v>four   string</v>
      </c>
      <c r="J18" t="str">
        <f t="shared" si="4"/>
        <v xml:space="preserve"> for i := 0; i &lt; len(me.Drawresult)-n+1; i++ {
  for j := i; j &lt; i+n; j++ {
   data[i].four += me.Drawresult[j].Result
   data[i].fourPRODUCTsp *= data[j].Spvalue
   data[i].fourSUMsp += data[j].Spvalue
  }
 }
 n++
</v>
      </c>
      <c r="K18" t="str">
        <f t="shared" si="3"/>
        <v>data[i].four,</v>
      </c>
    </row>
    <row r="19" spans="1:11" x14ac:dyDescent="0.15">
      <c r="A19">
        <v>18</v>
      </c>
      <c r="B19" t="s">
        <v>3</v>
      </c>
      <c r="C19" t="s">
        <v>33</v>
      </c>
      <c r="D19" t="s">
        <v>43</v>
      </c>
      <c r="E19" t="str">
        <f t="shared" si="1"/>
        <v>five varchar(5)  default '',</v>
      </c>
      <c r="F19" t="str">
        <f t="shared" si="2"/>
        <v>five,</v>
      </c>
      <c r="G19" t="s">
        <v>40</v>
      </c>
      <c r="H19" t="str">
        <f t="shared" si="0"/>
        <v>five   string</v>
      </c>
      <c r="J19" t="str">
        <f t="shared" si="4"/>
        <v xml:space="preserve"> for i := 0; i &lt; len(me.Drawresult)-n+1; i++ {
  for j := i; j &lt; i+n; j++ {
   data[i].five += me.Drawresult[j].Result
   data[i].fivePRODUCTsp *= data[j].Spvalue
   data[i].fiveSUMsp += data[j].Spvalue
  }
 }
 n++
</v>
      </c>
      <c r="K19" t="str">
        <f t="shared" si="3"/>
        <v>data[i].five,</v>
      </c>
    </row>
    <row r="20" spans="1:11" x14ac:dyDescent="0.15">
      <c r="A20">
        <v>19</v>
      </c>
      <c r="B20" t="s">
        <v>4</v>
      </c>
      <c r="C20" t="s">
        <v>34</v>
      </c>
      <c r="D20" t="s">
        <v>43</v>
      </c>
      <c r="E20" t="str">
        <f t="shared" si="1"/>
        <v>six varchar(6)  default '',</v>
      </c>
      <c r="F20" t="str">
        <f t="shared" si="2"/>
        <v>six,</v>
      </c>
      <c r="G20" t="s">
        <v>40</v>
      </c>
      <c r="H20" t="str">
        <f t="shared" si="0"/>
        <v>six   string</v>
      </c>
      <c r="J20" t="str">
        <f t="shared" si="4"/>
        <v xml:space="preserve"> for i := 0; i &lt; len(me.Drawresult)-n+1; i++ {
  for j := i; j &lt; i+n; j++ {
   data[i].six += me.Drawresult[j].Result
   data[i].sixPRODUCTsp *= data[j].Spvalue
   data[i].sixSUMsp += data[j].Spvalue
  }
 }
 n++
</v>
      </c>
      <c r="K20" t="str">
        <f t="shared" si="3"/>
        <v>data[i].six,</v>
      </c>
    </row>
    <row r="21" spans="1:11" x14ac:dyDescent="0.15">
      <c r="A21">
        <v>20</v>
      </c>
      <c r="B21" t="s">
        <v>5</v>
      </c>
      <c r="C21" t="s">
        <v>35</v>
      </c>
      <c r="D21" t="s">
        <v>43</v>
      </c>
      <c r="E21" t="str">
        <f t="shared" si="1"/>
        <v>seven varchar(7)  default '',</v>
      </c>
      <c r="F21" t="str">
        <f t="shared" si="2"/>
        <v>seven,</v>
      </c>
      <c r="G21" t="s">
        <v>40</v>
      </c>
      <c r="H21" t="str">
        <f t="shared" si="0"/>
        <v>seven   string</v>
      </c>
      <c r="J21" t="str">
        <f t="shared" si="4"/>
        <v xml:space="preserve"> for i := 0; i &lt; len(me.Drawresult)-n+1; i++ {
  for j := i; j &lt; i+n; j++ {
   data[i].seven += me.Drawresult[j].Result
   data[i].sevenPRODUCTsp *= data[j].Spvalue
   data[i].sevenSUMsp += data[j].Spvalue
  }
 }
 n++
</v>
      </c>
      <c r="K21" t="str">
        <f t="shared" si="3"/>
        <v>data[i].seven,</v>
      </c>
    </row>
    <row r="22" spans="1:11" x14ac:dyDescent="0.15">
      <c r="A22">
        <v>21</v>
      </c>
      <c r="B22" t="s">
        <v>6</v>
      </c>
      <c r="C22" t="s">
        <v>36</v>
      </c>
      <c r="D22" t="s">
        <v>43</v>
      </c>
      <c r="E22" t="str">
        <f t="shared" si="1"/>
        <v>eight varchar(8)  default '',</v>
      </c>
      <c r="F22" t="str">
        <f t="shared" si="2"/>
        <v>eight,</v>
      </c>
      <c r="G22" t="s">
        <v>40</v>
      </c>
      <c r="H22" t="str">
        <f t="shared" si="0"/>
        <v>eight   string</v>
      </c>
      <c r="J22" t="str">
        <f t="shared" si="4"/>
        <v xml:space="preserve"> for i := 0; i &lt; len(me.Drawresult)-n+1; i++ {
  for j := i; j &lt; i+n; j++ {
   data[i].eight += me.Drawresult[j].Result
   data[i].eightPRODUCTsp *= data[j].Spvalue
   data[i].eightSUMsp += data[j].Spvalue
  }
 }
 n++
</v>
      </c>
      <c r="K22" t="str">
        <f t="shared" si="3"/>
        <v>data[i].eight,</v>
      </c>
    </row>
    <row r="23" spans="1:11" x14ac:dyDescent="0.15">
      <c r="A23">
        <v>22</v>
      </c>
      <c r="B23" t="s">
        <v>7</v>
      </c>
      <c r="C23" t="s">
        <v>37</v>
      </c>
      <c r="D23" t="s">
        <v>43</v>
      </c>
      <c r="E23" t="str">
        <f t="shared" si="1"/>
        <v>nine varchar(9)  default '',</v>
      </c>
      <c r="F23" t="str">
        <f t="shared" si="2"/>
        <v>nine,</v>
      </c>
      <c r="G23" t="s">
        <v>40</v>
      </c>
      <c r="H23" t="str">
        <f t="shared" si="0"/>
        <v>nine   string</v>
      </c>
      <c r="J23" t="str">
        <f t="shared" si="4"/>
        <v xml:space="preserve"> for i := 0; i &lt; len(me.Drawresult)-n+1; i++ {
  for j := i; j &lt; i+n; j++ {
   data[i].nine += me.Drawresult[j].Result
   data[i].ninePRODUCTsp *= data[j].Spvalue
   data[i].nineSUMsp += data[j].Spvalue
  }
 }
 n++
</v>
      </c>
      <c r="K23" t="str">
        <f t="shared" si="3"/>
        <v>data[i].nine,</v>
      </c>
    </row>
    <row r="24" spans="1:11" x14ac:dyDescent="0.15">
      <c r="A24">
        <v>23</v>
      </c>
      <c r="B24" t="s">
        <v>8</v>
      </c>
      <c r="C24" t="s">
        <v>39</v>
      </c>
      <c r="D24" t="s">
        <v>43</v>
      </c>
      <c r="E24" t="str">
        <f t="shared" si="1"/>
        <v>ten varchar(10) default '',</v>
      </c>
      <c r="F24" t="str">
        <f t="shared" si="2"/>
        <v>ten,</v>
      </c>
      <c r="G24" t="s">
        <v>40</v>
      </c>
      <c r="H24" t="str">
        <f t="shared" si="0"/>
        <v>ten   string</v>
      </c>
      <c r="J24" t="str">
        <f t="shared" si="4"/>
        <v xml:space="preserve"> for i := 0; i &lt; len(me.Drawresult)-n+1; i++ {
  for j := i; j &lt; i+n; j++ {
   data[i].ten += me.Drawresult[j].Result
   data[i].tenPRODUCTsp *= data[j].Spvalue
   data[i].tenSUMsp += data[j].Spvalue
  }
 }
 n++
</v>
      </c>
      <c r="K24" t="str">
        <f t="shared" si="3"/>
        <v>data[i].ten,</v>
      </c>
    </row>
    <row r="25" spans="1:11" x14ac:dyDescent="0.15">
      <c r="A25">
        <v>24</v>
      </c>
      <c r="B25" t="str">
        <f>B16&amp;"SUMsp"</f>
        <v>twoSUMsp</v>
      </c>
      <c r="C25" t="s">
        <v>16</v>
      </c>
      <c r="D25" t="s">
        <v>20</v>
      </c>
      <c r="E25" t="str">
        <f t="shared" si="1"/>
        <v>twoSUMsp DOUBLE,</v>
      </c>
      <c r="F25" t="str">
        <f t="shared" si="2"/>
        <v>twoSUMsp,</v>
      </c>
      <c r="G25" t="s">
        <v>40</v>
      </c>
      <c r="H25" t="str">
        <f>B25&amp;"   "&amp;D25</f>
        <v>twoSUMsp   float64</v>
      </c>
      <c r="K25" t="str">
        <f t="shared" si="3"/>
        <v>data[i].twoSUMsp,</v>
      </c>
    </row>
    <row r="26" spans="1:11" x14ac:dyDescent="0.15">
      <c r="A26">
        <v>25</v>
      </c>
      <c r="B26" t="str">
        <f t="shared" ref="B26:B33" si="5">B17&amp;"SUMsp"</f>
        <v>threeSUMsp</v>
      </c>
      <c r="C26" t="s">
        <v>16</v>
      </c>
      <c r="D26" t="s">
        <v>20</v>
      </c>
      <c r="E26" t="str">
        <f t="shared" si="1"/>
        <v>threeSUMsp DOUBLE,</v>
      </c>
      <c r="F26" t="str">
        <f t="shared" si="2"/>
        <v>threeSUMsp,</v>
      </c>
      <c r="G26" t="s">
        <v>40</v>
      </c>
      <c r="H26" t="str">
        <f t="shared" ref="H26:H42" si="6">B26&amp;"   "&amp;D26</f>
        <v>threeSUMsp   float64</v>
      </c>
      <c r="K26" t="str">
        <f t="shared" si="3"/>
        <v>data[i].threeSUMsp,</v>
      </c>
    </row>
    <row r="27" spans="1:11" x14ac:dyDescent="0.15">
      <c r="A27">
        <v>26</v>
      </c>
      <c r="B27" t="str">
        <f t="shared" si="5"/>
        <v>fourSUMsp</v>
      </c>
      <c r="C27" t="s">
        <v>16</v>
      </c>
      <c r="D27" t="s">
        <v>20</v>
      </c>
      <c r="E27" t="str">
        <f t="shared" si="1"/>
        <v>fourSUMsp DOUBLE,</v>
      </c>
      <c r="F27" t="str">
        <f t="shared" si="2"/>
        <v>fourSUMsp,</v>
      </c>
      <c r="G27" t="s">
        <v>40</v>
      </c>
      <c r="H27" t="str">
        <f t="shared" si="6"/>
        <v>fourSUMsp   float64</v>
      </c>
      <c r="K27" t="str">
        <f t="shared" si="3"/>
        <v>data[i].fourSUMsp,</v>
      </c>
    </row>
    <row r="28" spans="1:11" x14ac:dyDescent="0.15">
      <c r="A28">
        <v>27</v>
      </c>
      <c r="B28" t="str">
        <f t="shared" si="5"/>
        <v>fiveSUMsp</v>
      </c>
      <c r="C28" t="s">
        <v>16</v>
      </c>
      <c r="D28" t="s">
        <v>20</v>
      </c>
      <c r="E28" t="str">
        <f t="shared" si="1"/>
        <v>fiveSUMsp DOUBLE,</v>
      </c>
      <c r="F28" t="str">
        <f t="shared" si="2"/>
        <v>fiveSUMsp,</v>
      </c>
      <c r="G28" t="s">
        <v>40</v>
      </c>
      <c r="H28" t="str">
        <f t="shared" si="6"/>
        <v>fiveSUMsp   float64</v>
      </c>
      <c r="K28" t="str">
        <f t="shared" si="3"/>
        <v>data[i].fiveSUMsp,</v>
      </c>
    </row>
    <row r="29" spans="1:11" x14ac:dyDescent="0.15">
      <c r="A29">
        <v>28</v>
      </c>
      <c r="B29" t="str">
        <f t="shared" si="5"/>
        <v>sixSUMsp</v>
      </c>
      <c r="C29" t="s">
        <v>16</v>
      </c>
      <c r="D29" t="s">
        <v>20</v>
      </c>
      <c r="E29" t="str">
        <f t="shared" si="1"/>
        <v>sixSUMsp DOUBLE,</v>
      </c>
      <c r="F29" t="str">
        <f t="shared" si="2"/>
        <v>sixSUMsp,</v>
      </c>
      <c r="G29" t="s">
        <v>40</v>
      </c>
      <c r="H29" t="str">
        <f t="shared" si="6"/>
        <v>sixSUMsp   float64</v>
      </c>
      <c r="K29" t="str">
        <f t="shared" si="3"/>
        <v>data[i].sixSUMsp,</v>
      </c>
    </row>
    <row r="30" spans="1:11" x14ac:dyDescent="0.15">
      <c r="A30">
        <v>29</v>
      </c>
      <c r="B30" t="str">
        <f t="shared" si="5"/>
        <v>sevenSUMsp</v>
      </c>
      <c r="C30" t="s">
        <v>16</v>
      </c>
      <c r="D30" t="s">
        <v>20</v>
      </c>
      <c r="E30" t="str">
        <f t="shared" si="1"/>
        <v>sevenSUMsp DOUBLE,</v>
      </c>
      <c r="F30" t="str">
        <f t="shared" si="2"/>
        <v>sevenSUMsp,</v>
      </c>
      <c r="G30" t="s">
        <v>40</v>
      </c>
      <c r="H30" t="str">
        <f t="shared" si="6"/>
        <v>sevenSUMsp   float64</v>
      </c>
      <c r="K30" t="str">
        <f t="shared" si="3"/>
        <v>data[i].sevenSUMsp,</v>
      </c>
    </row>
    <row r="31" spans="1:11" x14ac:dyDescent="0.15">
      <c r="A31">
        <v>30</v>
      </c>
      <c r="B31" t="str">
        <f t="shared" si="5"/>
        <v>eightSUMsp</v>
      </c>
      <c r="C31" t="s">
        <v>16</v>
      </c>
      <c r="D31" t="s">
        <v>20</v>
      </c>
      <c r="E31" t="str">
        <f t="shared" si="1"/>
        <v>eightSUMsp DOUBLE,</v>
      </c>
      <c r="F31" t="str">
        <f t="shared" si="2"/>
        <v>eightSUMsp,</v>
      </c>
      <c r="G31" t="s">
        <v>40</v>
      </c>
      <c r="H31" t="str">
        <f t="shared" si="6"/>
        <v>eightSUMsp   float64</v>
      </c>
      <c r="K31" t="str">
        <f t="shared" si="3"/>
        <v>data[i].eightSUMsp,</v>
      </c>
    </row>
    <row r="32" spans="1:11" x14ac:dyDescent="0.15">
      <c r="A32">
        <v>31</v>
      </c>
      <c r="B32" t="str">
        <f t="shared" si="5"/>
        <v>nineSUMsp</v>
      </c>
      <c r="C32" t="s">
        <v>16</v>
      </c>
      <c r="D32" t="s">
        <v>20</v>
      </c>
      <c r="E32" t="str">
        <f t="shared" si="1"/>
        <v>nineSUMsp DOUBLE,</v>
      </c>
      <c r="F32" t="str">
        <f t="shared" si="2"/>
        <v>nineSUMsp,</v>
      </c>
      <c r="G32" t="s">
        <v>40</v>
      </c>
      <c r="H32" t="str">
        <f t="shared" si="6"/>
        <v>nineSUMsp   float64</v>
      </c>
      <c r="K32" t="str">
        <f t="shared" si="3"/>
        <v>data[i].nineSUMsp,</v>
      </c>
    </row>
    <row r="33" spans="1:11" x14ac:dyDescent="0.15">
      <c r="A33">
        <v>32</v>
      </c>
      <c r="B33" t="str">
        <f t="shared" si="5"/>
        <v>tenSUMsp</v>
      </c>
      <c r="C33" t="s">
        <v>16</v>
      </c>
      <c r="D33" t="s">
        <v>20</v>
      </c>
      <c r="E33" t="str">
        <f t="shared" si="1"/>
        <v>tenSUMsp DOUBLE,</v>
      </c>
      <c r="F33" t="str">
        <f t="shared" si="2"/>
        <v>tenSUMsp,</v>
      </c>
      <c r="G33" t="s">
        <v>40</v>
      </c>
      <c r="H33" t="str">
        <f t="shared" si="6"/>
        <v>tenSUMsp   float64</v>
      </c>
      <c r="K33" t="str">
        <f t="shared" si="3"/>
        <v>data[i].tenSUMsp,</v>
      </c>
    </row>
    <row r="34" spans="1:11" x14ac:dyDescent="0.15">
      <c r="A34">
        <v>33</v>
      </c>
      <c r="B34" t="str">
        <f>B16&amp;"PRODUCTsp"</f>
        <v>twoPRODUCTsp</v>
      </c>
      <c r="C34" t="s">
        <v>16</v>
      </c>
      <c r="D34" t="s">
        <v>20</v>
      </c>
      <c r="E34" t="str">
        <f t="shared" si="1"/>
        <v>twoPRODUCTsp DOUBLE,</v>
      </c>
      <c r="F34" t="str">
        <f t="shared" si="2"/>
        <v>twoPRODUCTsp,</v>
      </c>
      <c r="G34" t="s">
        <v>40</v>
      </c>
      <c r="H34" t="str">
        <f t="shared" si="6"/>
        <v>twoPRODUCTsp   float64</v>
      </c>
      <c r="K34" t="str">
        <f t="shared" si="3"/>
        <v>data[i].twoPRODUCTsp,</v>
      </c>
    </row>
    <row r="35" spans="1:11" x14ac:dyDescent="0.15">
      <c r="A35">
        <v>34</v>
      </c>
      <c r="B35" t="str">
        <f t="shared" ref="B35:B42" si="7">B17&amp;"PRODUCTsp"</f>
        <v>threePRODUCTsp</v>
      </c>
      <c r="C35" t="s">
        <v>16</v>
      </c>
      <c r="D35" t="s">
        <v>20</v>
      </c>
      <c r="E35" t="str">
        <f t="shared" si="1"/>
        <v>threePRODUCTsp DOUBLE,</v>
      </c>
      <c r="F35" t="str">
        <f t="shared" si="2"/>
        <v>threePRODUCTsp,</v>
      </c>
      <c r="G35" t="s">
        <v>40</v>
      </c>
      <c r="H35" t="str">
        <f t="shared" si="6"/>
        <v>threePRODUCTsp   float64</v>
      </c>
      <c r="K35" t="str">
        <f t="shared" si="3"/>
        <v>data[i].threePRODUCTsp,</v>
      </c>
    </row>
    <row r="36" spans="1:11" x14ac:dyDescent="0.15">
      <c r="A36">
        <v>35</v>
      </c>
      <c r="B36" t="str">
        <f t="shared" si="7"/>
        <v>fourPRODUCTsp</v>
      </c>
      <c r="C36" t="s">
        <v>16</v>
      </c>
      <c r="D36" t="s">
        <v>20</v>
      </c>
      <c r="E36" t="str">
        <f t="shared" si="1"/>
        <v>fourPRODUCTsp DOUBLE,</v>
      </c>
      <c r="F36" t="str">
        <f t="shared" si="2"/>
        <v>fourPRODUCTsp,</v>
      </c>
      <c r="G36" t="s">
        <v>40</v>
      </c>
      <c r="H36" t="str">
        <f t="shared" si="6"/>
        <v>fourPRODUCTsp   float64</v>
      </c>
      <c r="K36" t="str">
        <f t="shared" si="3"/>
        <v>data[i].fourPRODUCTsp,</v>
      </c>
    </row>
    <row r="37" spans="1:11" x14ac:dyDescent="0.15">
      <c r="A37">
        <v>36</v>
      </c>
      <c r="B37" t="str">
        <f t="shared" si="7"/>
        <v>fivePRODUCTsp</v>
      </c>
      <c r="C37" t="s">
        <v>16</v>
      </c>
      <c r="D37" t="s">
        <v>20</v>
      </c>
      <c r="E37" t="str">
        <f t="shared" si="1"/>
        <v>fivePRODUCTsp DOUBLE,</v>
      </c>
      <c r="F37" t="str">
        <f t="shared" si="2"/>
        <v>fivePRODUCTsp,</v>
      </c>
      <c r="G37" t="s">
        <v>40</v>
      </c>
      <c r="H37" t="str">
        <f t="shared" si="6"/>
        <v>fivePRODUCTsp   float64</v>
      </c>
      <c r="K37" t="str">
        <f t="shared" si="3"/>
        <v>data[i].fivePRODUCTsp,</v>
      </c>
    </row>
    <row r="38" spans="1:11" x14ac:dyDescent="0.15">
      <c r="A38">
        <v>37</v>
      </c>
      <c r="B38" t="str">
        <f t="shared" si="7"/>
        <v>sixPRODUCTsp</v>
      </c>
      <c r="C38" t="s">
        <v>16</v>
      </c>
      <c r="D38" t="s">
        <v>20</v>
      </c>
      <c r="E38" t="str">
        <f t="shared" si="1"/>
        <v>sixPRODUCTsp DOUBLE,</v>
      </c>
      <c r="F38" t="str">
        <f t="shared" si="2"/>
        <v>sixPRODUCTsp,</v>
      </c>
      <c r="G38" t="s">
        <v>40</v>
      </c>
      <c r="H38" t="str">
        <f t="shared" si="6"/>
        <v>sixPRODUCTsp   float64</v>
      </c>
      <c r="K38" t="str">
        <f t="shared" si="3"/>
        <v>data[i].sixPRODUCTsp,</v>
      </c>
    </row>
    <row r="39" spans="1:11" x14ac:dyDescent="0.15">
      <c r="A39">
        <v>38</v>
      </c>
      <c r="B39" t="str">
        <f t="shared" si="7"/>
        <v>sevenPRODUCTsp</v>
      </c>
      <c r="C39" t="s">
        <v>16</v>
      </c>
      <c r="D39" t="s">
        <v>20</v>
      </c>
      <c r="E39" t="str">
        <f t="shared" si="1"/>
        <v>sevenPRODUCTsp DOUBLE,</v>
      </c>
      <c r="F39" t="str">
        <f t="shared" si="2"/>
        <v>sevenPRODUCTsp,</v>
      </c>
      <c r="G39" t="s">
        <v>40</v>
      </c>
      <c r="H39" t="str">
        <f t="shared" si="6"/>
        <v>sevenPRODUCTsp   float64</v>
      </c>
      <c r="K39" t="str">
        <f t="shared" si="3"/>
        <v>data[i].sevenPRODUCTsp,</v>
      </c>
    </row>
    <row r="40" spans="1:11" x14ac:dyDescent="0.15">
      <c r="A40">
        <v>39</v>
      </c>
      <c r="B40" t="str">
        <f t="shared" si="7"/>
        <v>eightPRODUCTsp</v>
      </c>
      <c r="C40" t="s">
        <v>16</v>
      </c>
      <c r="D40" t="s">
        <v>20</v>
      </c>
      <c r="E40" t="str">
        <f t="shared" si="1"/>
        <v>eightPRODUCTsp DOUBLE,</v>
      </c>
      <c r="F40" t="str">
        <f t="shared" si="2"/>
        <v>eightPRODUCTsp,</v>
      </c>
      <c r="G40" t="s">
        <v>40</v>
      </c>
      <c r="H40" t="str">
        <f t="shared" si="6"/>
        <v>eightPRODUCTsp   float64</v>
      </c>
      <c r="K40" t="str">
        <f t="shared" si="3"/>
        <v>data[i].eightPRODUCTsp,</v>
      </c>
    </row>
    <row r="41" spans="1:11" x14ac:dyDescent="0.15">
      <c r="A41">
        <v>40</v>
      </c>
      <c r="B41" t="str">
        <f t="shared" si="7"/>
        <v>ninePRODUCTsp</v>
      </c>
      <c r="C41" t="s">
        <v>16</v>
      </c>
      <c r="D41" t="s">
        <v>20</v>
      </c>
      <c r="E41" t="str">
        <f t="shared" si="1"/>
        <v>ninePRODUCTsp DOUBLE,</v>
      </c>
      <c r="F41" t="str">
        <f t="shared" si="2"/>
        <v>ninePRODUCTsp,</v>
      </c>
      <c r="G41" t="s">
        <v>40</v>
      </c>
      <c r="H41" t="str">
        <f t="shared" si="6"/>
        <v>ninePRODUCTsp   float64</v>
      </c>
      <c r="K41" t="str">
        <f t="shared" si="3"/>
        <v>data[i].ninePRODUCTsp,</v>
      </c>
    </row>
    <row r="42" spans="1:11" x14ac:dyDescent="0.15">
      <c r="A42">
        <v>41</v>
      </c>
      <c r="B42" t="str">
        <f t="shared" si="7"/>
        <v>tenPRODUCTsp</v>
      </c>
      <c r="C42" t="s">
        <v>16</v>
      </c>
      <c r="D42" t="s">
        <v>20</v>
      </c>
      <c r="E42" t="str">
        <f t="shared" si="1"/>
        <v>tenPRODUCTsp DOUBLE,</v>
      </c>
      <c r="F42" t="str">
        <f t="shared" si="2"/>
        <v>tenPRODUCTsp,</v>
      </c>
      <c r="G42" t="s">
        <v>40</v>
      </c>
      <c r="H42" t="str">
        <f t="shared" si="6"/>
        <v>tenPRODUCTsp   float64</v>
      </c>
      <c r="K42" t="str">
        <f t="shared" si="3"/>
        <v>data[i].tenPRODUCTsp,</v>
      </c>
    </row>
  </sheetData>
  <sheetProtection autoFilter="0"/>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cp:lastPrinted>2017-03-19T09:17:08Z</cp:lastPrinted>
  <dcterms:created xsi:type="dcterms:W3CDTF">2006-09-16T00:00:00Z</dcterms:created>
  <dcterms:modified xsi:type="dcterms:W3CDTF">2018-07-14T07:02:32Z</dcterms:modified>
  <dc:language>yuyan</dc:language>
</cp:coreProperties>
</file>